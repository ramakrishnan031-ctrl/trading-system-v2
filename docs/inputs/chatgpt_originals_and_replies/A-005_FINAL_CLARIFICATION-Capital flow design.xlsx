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rama\Downloads\Rama_discussion (reply files)\"/>
    </mc:Choice>
  </mc:AlternateContent>
  <xr:revisionPtr revIDLastSave="0" documentId="13_ncr:1_{DA73B9AC-A3C0-4FBC-9791-3CC4945163C4}" xr6:coauthVersionLast="47" xr6:coauthVersionMax="47" xr10:uidLastSave="{00000000-0000-0000-0000-000000000000}"/>
  <bookViews>
    <workbookView xWindow="-120" yWindow="-120" windowWidth="29040" windowHeight="15720" xr2:uid="{EC8DA574-15F5-4C86-956F-AAE1E86302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13" i="1" l="1"/>
  <c r="R12" i="1"/>
  <c r="R11" i="1"/>
  <c r="R10" i="1"/>
  <c r="R9" i="1"/>
  <c r="R8" i="1"/>
  <c r="R7" i="1"/>
  <c r="R6" i="1"/>
  <c r="K7" i="1"/>
  <c r="K8" i="1"/>
  <c r="K9" i="1"/>
  <c r="K10" i="1"/>
  <c r="K11" i="1"/>
  <c r="K12" i="1"/>
  <c r="K13" i="1"/>
  <c r="K14" i="1"/>
  <c r="K15" i="1"/>
  <c r="K16" i="1"/>
  <c r="K17" i="1"/>
  <c r="K6" i="1"/>
  <c r="L6" i="1" s="1"/>
  <c r="L7" i="1"/>
  <c r="L8" i="1"/>
  <c r="L9" i="1"/>
  <c r="L10" i="1"/>
  <c r="L11" i="1"/>
  <c r="L12" i="1"/>
  <c r="L13" i="1"/>
  <c r="L14" i="1"/>
  <c r="L15" i="1"/>
  <c r="L16" i="1"/>
  <c r="L17" i="1"/>
  <c r="J14" i="1"/>
  <c r="Q7" i="1"/>
  <c r="Q8" i="1" s="1"/>
  <c r="F7" i="1"/>
  <c r="F8" i="1" s="1"/>
  <c r="F9" i="1" s="1"/>
  <c r="F10" i="1" s="1"/>
  <c r="F11" i="1" s="1"/>
  <c r="F12" i="1" s="1"/>
  <c r="F13" i="1" s="1"/>
  <c r="F14" i="1" s="1"/>
  <c r="F15" i="1" s="1"/>
  <c r="C6" i="1"/>
  <c r="C12" i="1" s="1"/>
  <c r="C5" i="1"/>
  <c r="C11" i="1" s="1"/>
  <c r="H10" i="1" s="1"/>
  <c r="H9" i="1" l="1"/>
  <c r="J9" i="1" s="1"/>
  <c r="M9" i="1" s="1"/>
  <c r="N9" i="1" s="1"/>
  <c r="H8" i="1"/>
  <c r="H7" i="1"/>
  <c r="J10" i="1"/>
  <c r="M10" i="1" s="1"/>
  <c r="N10" i="1" s="1"/>
  <c r="J8" i="1"/>
  <c r="M8" i="1" s="1"/>
  <c r="N8" i="1" s="1"/>
  <c r="J7" i="1"/>
  <c r="M7" i="1" s="1"/>
  <c r="N7" i="1" s="1"/>
  <c r="H17" i="1"/>
  <c r="H6" i="1"/>
  <c r="H16" i="1"/>
  <c r="H15" i="1"/>
  <c r="H14" i="1"/>
  <c r="H13" i="1"/>
  <c r="H12" i="1"/>
  <c r="H11" i="1"/>
  <c r="C7" i="1"/>
  <c r="J11" i="1" l="1"/>
  <c r="M11" i="1" s="1"/>
  <c r="N11" i="1" s="1"/>
  <c r="J12" i="1"/>
  <c r="M12" i="1" s="1"/>
  <c r="N12" i="1" s="1"/>
  <c r="J13" i="1"/>
  <c r="M13" i="1" s="1"/>
  <c r="N13" i="1" s="1"/>
  <c r="R14" i="1"/>
  <c r="M14" i="1"/>
  <c r="N14" i="1" s="1"/>
  <c r="R15" i="1"/>
  <c r="J15" i="1"/>
  <c r="M15" i="1" s="1"/>
  <c r="N15" i="1" s="1"/>
  <c r="R16" i="1"/>
  <c r="J16" i="1"/>
  <c r="M16" i="1" s="1"/>
  <c r="N16" i="1" s="1"/>
  <c r="J6" i="1"/>
  <c r="M6" i="1" s="1"/>
  <c r="N6" i="1" s="1"/>
  <c r="R17" i="1"/>
  <c r="J17" i="1"/>
  <c r="M17" i="1" s="1"/>
  <c r="N17" i="1" s="1"/>
</calcChain>
</file>

<file path=xl/sharedStrings.xml><?xml version="1.0" encoding="utf-8"?>
<sst xmlns="http://schemas.openxmlformats.org/spreadsheetml/2006/main" count="84" uniqueCount="58">
  <si>
    <t>Total Cash Capital (Opening)</t>
  </si>
  <si>
    <t xml:space="preserve"> - Intraday @ 70%</t>
  </si>
  <si>
    <t xml:space="preserve"> - Delivery @ 30%</t>
  </si>
  <si>
    <t>Total Capital (matched with opening)</t>
  </si>
  <si>
    <t>Config.yaml (Maximum trades per day)</t>
  </si>
  <si>
    <t>Config.yaml (Capital Split)</t>
  </si>
  <si>
    <t xml:space="preserve"> - Intraday @ 10</t>
  </si>
  <si>
    <t xml:space="preserve"> - Delivery @ 3</t>
  </si>
  <si>
    <t>Maximum capital per trade</t>
  </si>
  <si>
    <t>Trading table (refer right side table)</t>
  </si>
  <si>
    <t>Trades</t>
  </si>
  <si>
    <t>Maximum Capital per Trade</t>
  </si>
  <si>
    <t>S.No</t>
  </si>
  <si>
    <t>Broker Margin</t>
  </si>
  <si>
    <t>Trading Table (Intraday): Assume below numbers wherever applicable - Example numbers only</t>
  </si>
  <si>
    <t>ITC [10:00 am]</t>
  </si>
  <si>
    <t>INFY [10:10 am]</t>
  </si>
  <si>
    <t>SUZLON [10:30 am]</t>
  </si>
  <si>
    <t>WIPRO [10:40 am]</t>
  </si>
  <si>
    <t>NLC [11:05 am]</t>
  </si>
  <si>
    <t>SGB [11:30 am]</t>
  </si>
  <si>
    <t>0% or Not available</t>
  </si>
  <si>
    <t>SLIVER ETF [12:10 pm]</t>
  </si>
  <si>
    <t>GOLD ETF [12:45pm]</t>
  </si>
  <si>
    <t>TECHM [13:05]</t>
  </si>
  <si>
    <t>ONGC [14:10]</t>
  </si>
  <si>
    <t>Quanties to be ordered</t>
  </si>
  <si>
    <t>Qty Rounded-Down to 1</t>
  </si>
  <si>
    <t>Capital Rounded-Down to Rs 1</t>
  </si>
  <si>
    <t>Capital available after Margin</t>
  </si>
  <si>
    <t>Status</t>
  </si>
  <si>
    <t>Filled</t>
  </si>
  <si>
    <t>Not Filled / Queued</t>
  </si>
  <si>
    <t>Result</t>
  </si>
  <si>
    <t>SL Hit</t>
  </si>
  <si>
    <t>TGT Hit</t>
  </si>
  <si>
    <t>Rejected</t>
  </si>
  <si>
    <t>Cancelled</t>
  </si>
  <si>
    <t>Not applicable</t>
  </si>
  <si>
    <t>POLARIS [14:20]</t>
  </si>
  <si>
    <t>SOLARA [14:30]</t>
  </si>
  <si>
    <t>**</t>
  </si>
  <si>
    <t>In above cases</t>
  </si>
  <si>
    <t>a. Cash capital commonly used along with available capital</t>
  </si>
  <si>
    <t>PNG [14:35]</t>
  </si>
  <si>
    <t>Rejected/Cancelled</t>
  </si>
  <si>
    <t>b. Only filled orders counted as 'Maximum orders per day' untill reach this stage, system continuously trades</t>
  </si>
  <si>
    <t>c. So most probably in last trade (In above case serial number 12) will have lesser capital, Incase earlier all trades hits SL - But in that case all previous capital amounts will be relased even though all hits SL (capital released after SL adjustment)</t>
  </si>
  <si>
    <t>Order will be Cancelld - Not applicable - Since maximum orders for the day already achieved</t>
  </si>
  <si>
    <t>(Assume strategy.yaml SL% = 1.5%</t>
  </si>
  <si>
    <t>SL amount or Intended loss per trade
(SL% on margin adjusted capital)</t>
  </si>
  <si>
    <r>
      <t xml:space="preserve">Result amount
</t>
    </r>
    <r>
      <rPr>
        <sz val="10"/>
        <color theme="1"/>
        <rFont val="Aptos Narrow"/>
        <family val="2"/>
        <scheme val="minor"/>
      </rPr>
      <t>(assume)</t>
    </r>
  </si>
  <si>
    <t>Actual Capital released
after results</t>
  </si>
  <si>
    <t>Soft-kill or No new entry blocking triggers at 14:45  (assume config.yaml set with 14:45)</t>
  </si>
  <si>
    <t>Ignore "Maximum capital per trade" comparision with Config.yaml Vs Strategy.yaml (not a core thing to be considered here) - This is just a intended capital flow explanation</t>
  </si>
  <si>
    <t>Maximum capital or Position size means to Cash capital+Margin adjustments, Meaning for trading capital means real cash capital after adjusting with broker's margin capital (2x-5x), not only real cash capital</t>
  </si>
  <si>
    <t>So be careful with definitions of real cash capital, trading capital: Trading capital=real cash+margin=Maximum position value or Maximum capital per trade etc, while implementing config.yaml settings</t>
  </si>
  <si>
    <t>Note that above table intended to explain how capitals should be splited, calculated with margin, allocated to each scrips only, So in case number of quantity? Conflicts here, then ignore qty things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</si>
</sst>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u/>
      <sz val="11"/>
      <color theme="1"/>
      <name val="Aptos Narrow"/>
      <family val="2"/>
      <scheme val="minor"/>
    </font>
    <font>
      <sz val="10"/>
      <color theme="1"/>
      <name val="Aptos Narrow"/>
      <family val="2"/>
      <scheme val="minor"/>
    </font>
  </fonts>
  <fills count="2">
    <fill>
      <patternFill patternType="none"/>
    </fill>
    <fill>
      <patternFill patternType="gray125"/>
    </fill>
  </fills>
  <borders count="3">
    <border>
      <left/>
      <right/>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64" fontId="0" fillId="0" borderId="0" xfId="0" applyNumberFormat="1"/>
    <xf numFmtId="0" fontId="0" fillId="0" borderId="0" xfId="0" quotePrefix="1"/>
    <xf numFmtId="164" fontId="2" fillId="0" borderId="1" xfId="0" applyNumberFormat="1" applyFont="1" applyBorder="1"/>
    <xf numFmtId="0" fontId="0" fillId="0" borderId="0" xfId="0" applyAlignment="1">
      <alignment horizontal="center"/>
    </xf>
    <xf numFmtId="0" fontId="2" fillId="0" borderId="0" xfId="0" applyFont="1"/>
    <xf numFmtId="0" fontId="2" fillId="0" borderId="0" xfId="0" applyFont="1" applyAlignment="1">
      <alignment horizontal="center"/>
    </xf>
    <xf numFmtId="0" fontId="3" fillId="0" borderId="0" xfId="0" applyFont="1"/>
    <xf numFmtId="10" fontId="0" fillId="0" borderId="2" xfId="1" applyNumberFormat="1" applyFont="1" applyBorder="1"/>
    <xf numFmtId="9" fontId="0" fillId="0" borderId="2" xfId="1" applyFont="1" applyBorder="1"/>
    <xf numFmtId="0" fontId="0" fillId="0" borderId="2" xfId="0" applyFont="1" applyBorder="1" applyAlignment="1">
      <alignment horizontal="center"/>
    </xf>
    <xf numFmtId="0" fontId="0" fillId="0" borderId="2" xfId="0" applyFont="1" applyBorder="1"/>
    <xf numFmtId="164" fontId="0" fillId="0" borderId="2" xfId="0" applyNumberFormat="1" applyFont="1" applyBorder="1"/>
    <xf numFmtId="165" fontId="0" fillId="0" borderId="2" xfId="0" applyNumberFormat="1" applyFont="1" applyBorder="1"/>
    <xf numFmtId="4" fontId="0" fillId="0" borderId="2" xfId="0" applyNumberFormat="1" applyFont="1" applyBorder="1"/>
    <xf numFmtId="0" fontId="2" fillId="0" borderId="0" xfId="0" applyFont="1" applyAlignment="1">
      <alignment horizontal="center" vertical="center"/>
    </xf>
    <xf numFmtId="0" fontId="0" fillId="0" borderId="0" xfId="0" quotePrefix="1" applyAlignment="1">
      <alignment vertical="center"/>
    </xf>
    <xf numFmtId="164" fontId="0" fillId="0" borderId="0" xfId="0" applyNumberFormat="1" applyAlignment="1">
      <alignment vertical="center"/>
    </xf>
    <xf numFmtId="0" fontId="0" fillId="0" borderId="0" xfId="0" applyAlignment="1">
      <alignment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4" fillId="0" borderId="2" xfId="0" applyFont="1" applyBorder="1" applyAlignment="1">
      <alignment horizontal="center" vertical="center" wrapText="1"/>
    </xf>
    <xf numFmtId="0" fontId="4" fillId="0" borderId="0" xfId="0" applyFont="1" applyAlignment="1">
      <alignment horizontal="center"/>
    </xf>
    <xf numFmtId="0" fontId="0" fillId="0" borderId="2" xfId="0"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8B374-A861-40FA-BC5C-771DB7CB8523}">
  <dimension ref="A2:R30"/>
  <sheetViews>
    <sheetView tabSelected="1" topLeftCell="E1" workbookViewId="0">
      <selection activeCell="F31" sqref="F31"/>
    </sheetView>
  </sheetViews>
  <sheetFormatPr defaultRowHeight="15" x14ac:dyDescent="0.25"/>
  <cols>
    <col min="1" max="1" width="9.140625" style="4"/>
    <col min="2" max="2" width="38.5703125" bestFit="1" customWidth="1"/>
    <col min="3" max="3" width="25" bestFit="1" customWidth="1"/>
    <col min="6" max="6" width="9.140625" style="4"/>
    <col min="7" max="7" width="20.140625" customWidth="1"/>
    <col min="8" max="8" width="25.7109375" bestFit="1" customWidth="1"/>
    <col min="9" max="9" width="18.28515625" bestFit="1" customWidth="1"/>
    <col min="10" max="10" width="27.42578125" bestFit="1" customWidth="1"/>
    <col min="11" max="11" width="28" bestFit="1" customWidth="1"/>
    <col min="12" max="12" width="33.140625" customWidth="1"/>
    <col min="13" max="13" width="21.42578125" bestFit="1" customWidth="1"/>
    <col min="14" max="14" width="21.85546875" bestFit="1" customWidth="1"/>
    <col min="15" max="15" width="18.140625" bestFit="1" customWidth="1"/>
    <col min="16" max="16" width="9.7109375" bestFit="1" customWidth="1"/>
    <col min="17" max="17" width="14.140625" bestFit="1" customWidth="1"/>
    <col min="18" max="18" width="21.7109375" bestFit="1" customWidth="1"/>
  </cols>
  <sheetData>
    <row r="2" spans="1:18" x14ac:dyDescent="0.25">
      <c r="A2" s="6">
        <v>1</v>
      </c>
      <c r="B2" t="s">
        <v>0</v>
      </c>
      <c r="C2" s="1">
        <v>10000</v>
      </c>
    </row>
    <row r="3" spans="1:18" x14ac:dyDescent="0.25">
      <c r="A3" s="6"/>
      <c r="C3" s="1"/>
      <c r="F3" s="6">
        <v>4</v>
      </c>
      <c r="G3" s="5" t="s">
        <v>14</v>
      </c>
    </row>
    <row r="4" spans="1:18" x14ac:dyDescent="0.25">
      <c r="A4" s="6">
        <v>2</v>
      </c>
      <c r="B4" s="5" t="s">
        <v>5</v>
      </c>
      <c r="L4" t="s">
        <v>49</v>
      </c>
      <c r="Q4" s="22"/>
    </row>
    <row r="5" spans="1:18" s="18" customFormat="1" ht="30" x14ac:dyDescent="0.25">
      <c r="A5" s="15"/>
      <c r="B5" s="16" t="s">
        <v>1</v>
      </c>
      <c r="C5" s="17">
        <f>C2*70%</f>
        <v>7000</v>
      </c>
      <c r="F5" s="19" t="s">
        <v>12</v>
      </c>
      <c r="G5" s="19" t="s">
        <v>10</v>
      </c>
      <c r="H5" s="19" t="s">
        <v>11</v>
      </c>
      <c r="I5" s="19" t="s">
        <v>13</v>
      </c>
      <c r="J5" s="19" t="s">
        <v>29</v>
      </c>
      <c r="K5" s="19" t="s">
        <v>28</v>
      </c>
      <c r="L5" s="21" t="s">
        <v>50</v>
      </c>
      <c r="M5" s="19" t="s">
        <v>26</v>
      </c>
      <c r="N5" s="19" t="s">
        <v>27</v>
      </c>
      <c r="O5" s="19" t="s">
        <v>30</v>
      </c>
      <c r="P5" s="19" t="s">
        <v>33</v>
      </c>
      <c r="Q5" s="20" t="s">
        <v>51</v>
      </c>
      <c r="R5" s="20" t="s">
        <v>52</v>
      </c>
    </row>
    <row r="6" spans="1:18" x14ac:dyDescent="0.25">
      <c r="A6" s="6"/>
      <c r="B6" s="2" t="s">
        <v>2</v>
      </c>
      <c r="C6" s="1">
        <f>C2*30%</f>
        <v>3000</v>
      </c>
      <c r="F6" s="10">
        <v>1</v>
      </c>
      <c r="G6" s="11" t="s">
        <v>15</v>
      </c>
      <c r="H6" s="12">
        <f>$C$11</f>
        <v>700</v>
      </c>
      <c r="I6" s="8">
        <v>0.2</v>
      </c>
      <c r="J6" s="13">
        <f>H6/I6</f>
        <v>3500</v>
      </c>
      <c r="K6" s="13">
        <f>ROUNDDOWN(J6,0)</f>
        <v>3500</v>
      </c>
      <c r="L6" s="13">
        <f>K6*1.5%</f>
        <v>52.5</v>
      </c>
      <c r="M6" s="14">
        <f>K6/L6</f>
        <v>66.666666666666671</v>
      </c>
      <c r="N6" s="14">
        <f>ROUNDDOWN(M6,0)</f>
        <v>66</v>
      </c>
      <c r="O6" s="10" t="s">
        <v>31</v>
      </c>
      <c r="P6" s="10" t="s">
        <v>34</v>
      </c>
      <c r="Q6" s="11">
        <v>-100</v>
      </c>
      <c r="R6" s="12">
        <f>H6+Q6</f>
        <v>600</v>
      </c>
    </row>
    <row r="7" spans="1:18" ht="15.75" thickBot="1" x14ac:dyDescent="0.3">
      <c r="A7" s="6"/>
      <c r="B7" t="s">
        <v>3</v>
      </c>
      <c r="C7" s="3">
        <f>SUM(C5:C6)</f>
        <v>10000</v>
      </c>
      <c r="F7" s="10">
        <f>F6+1</f>
        <v>2</v>
      </c>
      <c r="G7" s="11" t="s">
        <v>16</v>
      </c>
      <c r="H7" s="12">
        <f t="shared" ref="H7:H17" si="0">$C$11</f>
        <v>700</v>
      </c>
      <c r="I7" s="8">
        <v>0.33329999999999999</v>
      </c>
      <c r="J7" s="13">
        <f t="shared" ref="J7:J15" si="1">H7/I7</f>
        <v>2100.2100210021003</v>
      </c>
      <c r="K7" s="13">
        <f t="shared" ref="K7:K17" si="2">ROUNDDOWN(J7,0)</f>
        <v>2100</v>
      </c>
      <c r="L7" s="13">
        <f t="shared" ref="L7:L17" si="3">K7*1.5%</f>
        <v>31.5</v>
      </c>
      <c r="M7" s="14">
        <f t="shared" ref="M7:M15" si="4">K7/L7</f>
        <v>66.666666666666671</v>
      </c>
      <c r="N7" s="14">
        <f t="shared" ref="N7:N17" si="5">ROUNDDOWN(M7,0)</f>
        <v>66</v>
      </c>
      <c r="O7" s="10" t="s">
        <v>31</v>
      </c>
      <c r="P7" s="10" t="s">
        <v>34</v>
      </c>
      <c r="Q7" s="11">
        <f>Q6+10</f>
        <v>-90</v>
      </c>
      <c r="R7" s="12">
        <f>H7+Q7</f>
        <v>610</v>
      </c>
    </row>
    <row r="8" spans="1:18" ht="15.75" thickTop="1" x14ac:dyDescent="0.25">
      <c r="A8" s="6"/>
      <c r="F8" s="10">
        <f t="shared" ref="F8:F15" si="6">F7+1</f>
        <v>3</v>
      </c>
      <c r="G8" s="11" t="s">
        <v>17</v>
      </c>
      <c r="H8" s="12">
        <f t="shared" si="0"/>
        <v>700</v>
      </c>
      <c r="I8" s="8">
        <v>0.5</v>
      </c>
      <c r="J8" s="13">
        <f t="shared" si="1"/>
        <v>1400</v>
      </c>
      <c r="K8" s="13">
        <f t="shared" si="2"/>
        <v>1400</v>
      </c>
      <c r="L8" s="13">
        <f t="shared" si="3"/>
        <v>21</v>
      </c>
      <c r="M8" s="14">
        <f t="shared" si="4"/>
        <v>66.666666666666671</v>
      </c>
      <c r="N8" s="14">
        <f t="shared" si="5"/>
        <v>66</v>
      </c>
      <c r="O8" s="10" t="s">
        <v>31</v>
      </c>
      <c r="P8" s="10" t="s">
        <v>34</v>
      </c>
      <c r="Q8" s="11">
        <f t="shared" ref="Q8" si="7">Q7+10</f>
        <v>-80</v>
      </c>
      <c r="R8" s="12">
        <f>H8+Q8</f>
        <v>620</v>
      </c>
    </row>
    <row r="9" spans="1:18" x14ac:dyDescent="0.25">
      <c r="A9" s="6"/>
      <c r="F9" s="10">
        <f t="shared" si="6"/>
        <v>4</v>
      </c>
      <c r="G9" s="11" t="s">
        <v>18</v>
      </c>
      <c r="H9" s="12">
        <f t="shared" si="0"/>
        <v>700</v>
      </c>
      <c r="I9" s="8">
        <v>1</v>
      </c>
      <c r="J9" s="13">
        <f t="shared" si="1"/>
        <v>700</v>
      </c>
      <c r="K9" s="13">
        <f t="shared" si="2"/>
        <v>700</v>
      </c>
      <c r="L9" s="13">
        <f t="shared" si="3"/>
        <v>10.5</v>
      </c>
      <c r="M9" s="14">
        <f t="shared" si="4"/>
        <v>66.666666666666671</v>
      </c>
      <c r="N9" s="14">
        <f t="shared" si="5"/>
        <v>66</v>
      </c>
      <c r="O9" s="10" t="s">
        <v>31</v>
      </c>
      <c r="P9" s="10" t="s">
        <v>35</v>
      </c>
      <c r="Q9" s="11">
        <v>120</v>
      </c>
      <c r="R9" s="12">
        <f>H9+Q9</f>
        <v>820</v>
      </c>
    </row>
    <row r="10" spans="1:18" x14ac:dyDescent="0.25">
      <c r="A10" s="6">
        <v>3</v>
      </c>
      <c r="B10" s="5" t="s">
        <v>4</v>
      </c>
      <c r="C10" t="s">
        <v>8</v>
      </c>
      <c r="F10" s="10">
        <f t="shared" si="6"/>
        <v>5</v>
      </c>
      <c r="G10" s="11" t="s">
        <v>19</v>
      </c>
      <c r="H10" s="12">
        <f t="shared" si="0"/>
        <v>700</v>
      </c>
      <c r="I10" s="9" t="s">
        <v>21</v>
      </c>
      <c r="J10" s="12">
        <f>H10</f>
        <v>700</v>
      </c>
      <c r="K10" s="13">
        <f t="shared" si="2"/>
        <v>700</v>
      </c>
      <c r="L10" s="13">
        <f t="shared" si="3"/>
        <v>10.5</v>
      </c>
      <c r="M10" s="14">
        <f t="shared" si="4"/>
        <v>66.666666666666671</v>
      </c>
      <c r="N10" s="14">
        <f t="shared" si="5"/>
        <v>66</v>
      </c>
      <c r="O10" s="10" t="s">
        <v>32</v>
      </c>
      <c r="P10" s="10" t="s">
        <v>36</v>
      </c>
      <c r="Q10" s="10" t="s">
        <v>38</v>
      </c>
      <c r="R10" s="12">
        <f>H10</f>
        <v>700</v>
      </c>
    </row>
    <row r="11" spans="1:18" x14ac:dyDescent="0.25">
      <c r="B11" s="2" t="s">
        <v>6</v>
      </c>
      <c r="C11" s="1">
        <f>C5/10</f>
        <v>700</v>
      </c>
      <c r="F11" s="10">
        <f t="shared" si="6"/>
        <v>6</v>
      </c>
      <c r="G11" s="11" t="s">
        <v>20</v>
      </c>
      <c r="H11" s="12">
        <f t="shared" si="0"/>
        <v>700</v>
      </c>
      <c r="I11" s="8">
        <v>0.5</v>
      </c>
      <c r="J11" s="13">
        <f t="shared" si="1"/>
        <v>1400</v>
      </c>
      <c r="K11" s="13">
        <f t="shared" si="2"/>
        <v>1400</v>
      </c>
      <c r="L11" s="13">
        <f t="shared" si="3"/>
        <v>21</v>
      </c>
      <c r="M11" s="14">
        <f t="shared" si="4"/>
        <v>66.666666666666671</v>
      </c>
      <c r="N11" s="14">
        <f t="shared" si="5"/>
        <v>66</v>
      </c>
      <c r="O11" s="10" t="s">
        <v>32</v>
      </c>
      <c r="P11" s="10" t="s">
        <v>37</v>
      </c>
      <c r="Q11" s="10" t="s">
        <v>38</v>
      </c>
      <c r="R11" s="12">
        <f>H11</f>
        <v>700</v>
      </c>
    </row>
    <row r="12" spans="1:18" x14ac:dyDescent="0.25">
      <c r="B12" s="2" t="s">
        <v>7</v>
      </c>
      <c r="C12" s="1">
        <f>C6/3</f>
        <v>1000</v>
      </c>
      <c r="F12" s="10">
        <f t="shared" si="6"/>
        <v>7</v>
      </c>
      <c r="G12" s="11" t="s">
        <v>22</v>
      </c>
      <c r="H12" s="12">
        <f t="shared" si="0"/>
        <v>700</v>
      </c>
      <c r="I12" s="8">
        <v>0.2</v>
      </c>
      <c r="J12" s="13">
        <f t="shared" si="1"/>
        <v>3500</v>
      </c>
      <c r="K12" s="13">
        <f t="shared" si="2"/>
        <v>3500</v>
      </c>
      <c r="L12" s="13">
        <f t="shared" si="3"/>
        <v>52.5</v>
      </c>
      <c r="M12" s="14">
        <f t="shared" si="4"/>
        <v>66.666666666666671</v>
      </c>
      <c r="N12" s="14">
        <f t="shared" si="5"/>
        <v>66</v>
      </c>
      <c r="O12" s="10" t="s">
        <v>31</v>
      </c>
      <c r="P12" s="10" t="s">
        <v>34</v>
      </c>
      <c r="Q12" s="11">
        <v>-150</v>
      </c>
      <c r="R12" s="12">
        <f>H12+Q12</f>
        <v>550</v>
      </c>
    </row>
    <row r="13" spans="1:18" x14ac:dyDescent="0.25">
      <c r="F13" s="10">
        <f t="shared" si="6"/>
        <v>8</v>
      </c>
      <c r="G13" s="11" t="s">
        <v>23</v>
      </c>
      <c r="H13" s="12">
        <f t="shared" si="0"/>
        <v>700</v>
      </c>
      <c r="I13" s="8">
        <v>0.33329999999999999</v>
      </c>
      <c r="J13" s="13">
        <f t="shared" si="1"/>
        <v>2100.2100210021003</v>
      </c>
      <c r="K13" s="13">
        <f t="shared" si="2"/>
        <v>2100</v>
      </c>
      <c r="L13" s="13">
        <f t="shared" si="3"/>
        <v>31.5</v>
      </c>
      <c r="M13" s="14">
        <f t="shared" si="4"/>
        <v>66.666666666666671</v>
      </c>
      <c r="N13" s="14">
        <f t="shared" si="5"/>
        <v>66</v>
      </c>
      <c r="O13" s="10" t="s">
        <v>31</v>
      </c>
      <c r="P13" s="10" t="s">
        <v>35</v>
      </c>
      <c r="Q13" s="11">
        <v>200</v>
      </c>
      <c r="R13" s="12">
        <f>H13+Q13</f>
        <v>900</v>
      </c>
    </row>
    <row r="14" spans="1:18" x14ac:dyDescent="0.25">
      <c r="F14" s="10">
        <f t="shared" si="6"/>
        <v>9</v>
      </c>
      <c r="G14" s="11" t="s">
        <v>24</v>
      </c>
      <c r="H14" s="12">
        <f t="shared" si="0"/>
        <v>700</v>
      </c>
      <c r="I14" s="9" t="s">
        <v>21</v>
      </c>
      <c r="J14" s="12">
        <f>H14</f>
        <v>700</v>
      </c>
      <c r="K14" s="13">
        <f t="shared" si="2"/>
        <v>700</v>
      </c>
      <c r="L14" s="13">
        <f t="shared" si="3"/>
        <v>10.5</v>
      </c>
      <c r="M14" s="14">
        <f t="shared" si="4"/>
        <v>66.666666666666671</v>
      </c>
      <c r="N14" s="14">
        <f t="shared" si="5"/>
        <v>66</v>
      </c>
      <c r="O14" s="10" t="s">
        <v>31</v>
      </c>
      <c r="P14" s="10" t="s">
        <v>34</v>
      </c>
      <c r="Q14" s="11">
        <v>-210</v>
      </c>
      <c r="R14" s="12">
        <f t="shared" ref="R14:R17" si="8">H14+Q14</f>
        <v>490</v>
      </c>
    </row>
    <row r="15" spans="1:18" x14ac:dyDescent="0.25">
      <c r="A15" s="6">
        <v>4</v>
      </c>
      <c r="B15" s="5" t="s">
        <v>9</v>
      </c>
      <c r="F15" s="10">
        <f t="shared" si="6"/>
        <v>10</v>
      </c>
      <c r="G15" s="11" t="s">
        <v>25</v>
      </c>
      <c r="H15" s="12">
        <f t="shared" si="0"/>
        <v>700</v>
      </c>
      <c r="I15" s="8">
        <v>0.5</v>
      </c>
      <c r="J15" s="13">
        <f t="shared" si="1"/>
        <v>1400</v>
      </c>
      <c r="K15" s="13">
        <f t="shared" si="2"/>
        <v>1400</v>
      </c>
      <c r="L15" s="13">
        <f t="shared" si="3"/>
        <v>21</v>
      </c>
      <c r="M15" s="14">
        <f t="shared" si="4"/>
        <v>66.666666666666671</v>
      </c>
      <c r="N15" s="14">
        <f t="shared" si="5"/>
        <v>66</v>
      </c>
      <c r="O15" s="10" t="s">
        <v>31</v>
      </c>
      <c r="P15" s="10" t="s">
        <v>35</v>
      </c>
      <c r="Q15" s="11">
        <v>250</v>
      </c>
      <c r="R15" s="12">
        <f t="shared" si="8"/>
        <v>950</v>
      </c>
    </row>
    <row r="16" spans="1:18" x14ac:dyDescent="0.25">
      <c r="F16" s="10">
        <v>11</v>
      </c>
      <c r="G16" s="11" t="s">
        <v>39</v>
      </c>
      <c r="H16" s="12">
        <f t="shared" si="0"/>
        <v>700</v>
      </c>
      <c r="I16" s="8">
        <v>0.5</v>
      </c>
      <c r="J16" s="13">
        <f t="shared" ref="J16:J17" si="9">H16/I16</f>
        <v>1400</v>
      </c>
      <c r="K16" s="13">
        <f t="shared" si="2"/>
        <v>1400</v>
      </c>
      <c r="L16" s="13">
        <f t="shared" si="3"/>
        <v>21</v>
      </c>
      <c r="M16" s="14">
        <f t="shared" ref="M16:M17" si="10">K16/L16</f>
        <v>66.666666666666671</v>
      </c>
      <c r="N16" s="14">
        <f t="shared" si="5"/>
        <v>66</v>
      </c>
      <c r="O16" s="10" t="s">
        <v>31</v>
      </c>
      <c r="P16" s="10" t="s">
        <v>35</v>
      </c>
      <c r="Q16" s="11">
        <v>300</v>
      </c>
      <c r="R16" s="12">
        <f t="shared" si="8"/>
        <v>1000</v>
      </c>
    </row>
    <row r="17" spans="6:18" x14ac:dyDescent="0.25">
      <c r="F17" s="10">
        <v>12</v>
      </c>
      <c r="G17" s="11" t="s">
        <v>40</v>
      </c>
      <c r="H17" s="12">
        <f t="shared" si="0"/>
        <v>700</v>
      </c>
      <c r="I17" s="8">
        <v>0.5</v>
      </c>
      <c r="J17" s="13">
        <f t="shared" si="9"/>
        <v>1400</v>
      </c>
      <c r="K17" s="13">
        <f t="shared" si="2"/>
        <v>1400</v>
      </c>
      <c r="L17" s="13">
        <f t="shared" si="3"/>
        <v>21</v>
      </c>
      <c r="M17" s="14">
        <f t="shared" si="10"/>
        <v>66.666666666666671</v>
      </c>
      <c r="N17" s="14">
        <f t="shared" si="5"/>
        <v>66</v>
      </c>
      <c r="O17" s="10" t="s">
        <v>31</v>
      </c>
      <c r="P17" s="10" t="s">
        <v>35</v>
      </c>
      <c r="Q17" s="11">
        <v>310</v>
      </c>
      <c r="R17" s="12">
        <f t="shared" si="8"/>
        <v>1010</v>
      </c>
    </row>
    <row r="18" spans="6:18" x14ac:dyDescent="0.25">
      <c r="F18" s="10">
        <v>13</v>
      </c>
      <c r="G18" s="11" t="s">
        <v>44</v>
      </c>
      <c r="H18" s="23" t="s">
        <v>48</v>
      </c>
      <c r="I18" s="23"/>
      <c r="J18" s="23"/>
      <c r="K18" s="23"/>
      <c r="L18" s="23"/>
      <c r="M18" s="23"/>
      <c r="N18" s="23"/>
      <c r="O18" s="10" t="s">
        <v>45</v>
      </c>
      <c r="P18" s="23" t="s">
        <v>38</v>
      </c>
      <c r="Q18" s="23"/>
      <c r="R18" s="23"/>
    </row>
    <row r="20" spans="6:18" x14ac:dyDescent="0.25">
      <c r="F20" s="4" t="s">
        <v>41</v>
      </c>
      <c r="G20" t="s">
        <v>53</v>
      </c>
    </row>
    <row r="22" spans="6:18" x14ac:dyDescent="0.25">
      <c r="F22" s="4" t="s">
        <v>41</v>
      </c>
      <c r="G22" s="7" t="s">
        <v>42</v>
      </c>
    </row>
    <row r="23" spans="6:18" x14ac:dyDescent="0.25">
      <c r="G23" t="s">
        <v>43</v>
      </c>
    </row>
    <row r="24" spans="6:18" x14ac:dyDescent="0.25">
      <c r="G24" t="s">
        <v>46</v>
      </c>
    </row>
    <row r="25" spans="6:18" x14ac:dyDescent="0.25">
      <c r="G25" t="s">
        <v>47</v>
      </c>
    </row>
    <row r="27" spans="6:18" x14ac:dyDescent="0.25">
      <c r="F27" s="4" t="s">
        <v>41</v>
      </c>
      <c r="G27" t="s">
        <v>54</v>
      </c>
    </row>
    <row r="28" spans="6:18" x14ac:dyDescent="0.25">
      <c r="F28" s="4" t="s">
        <v>41</v>
      </c>
      <c r="G28" t="s">
        <v>55</v>
      </c>
    </row>
    <row r="29" spans="6:18" x14ac:dyDescent="0.25">
      <c r="F29" s="4" t="s">
        <v>41</v>
      </c>
      <c r="G29" t="s">
        <v>56</v>
      </c>
    </row>
    <row r="30" spans="6:18" x14ac:dyDescent="0.25">
      <c r="F30" s="4" t="s">
        <v>41</v>
      </c>
      <c r="G30" t="s">
        <v>57</v>
      </c>
    </row>
  </sheetData>
  <mergeCells count="2">
    <mergeCell ref="H18:N18"/>
    <mergeCell ref="P18:R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Ramakrishnan K</dc:creator>
  <cp:lastModifiedBy>Ramakrishnan K</cp:lastModifiedBy>
  <dcterms:created xsi:type="dcterms:W3CDTF">2026-09-24T08:10:45Z</dcterms:created>
  <dcterms:modified xsi:type="dcterms:W3CDTF">2026-10-06T03:48:04Z</dcterms:modified>
</cp:coreProperties>
</file>